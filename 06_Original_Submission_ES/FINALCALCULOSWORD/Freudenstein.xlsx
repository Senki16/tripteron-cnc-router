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Eafit\Lectures\Diseño de maquinas\"/>
    </mc:Choice>
  </mc:AlternateContent>
  <xr:revisionPtr revIDLastSave="0" documentId="13_ncr:1_{BD188D0C-D2D6-40D9-A5E5-879AC3EDE35A}" xr6:coauthVersionLast="36" xr6:coauthVersionMax="36" xr10:uidLastSave="{00000000-0000-0000-0000-000000000000}"/>
  <bookViews>
    <workbookView xWindow="7416" yWindow="72" windowWidth="21060" windowHeight="10080" tabRatio="839" activeTab="4" xr2:uid="{00000000-000D-0000-FFFF-FFFF00000000}"/>
  </bookViews>
  <sheets>
    <sheet name="4bar theta2-theta4" sheetId="1" r:id="rId1"/>
    <sheet name="4bar theta2-theta3" sheetId="3" r:id="rId2"/>
    <sheet name="4bar theta3-theta4" sheetId="4" r:id="rId3"/>
    <sheet name="slider theta2-d" sheetId="2" r:id="rId4"/>
    <sheet name="slider theta2-d 2 points" sheetId="8" r:id="rId5"/>
    <sheet name="slider theta3-d" sheetId="6" r:id="rId6"/>
    <sheet name="slider theta2-theta3 2 points" sheetId="5" r:id="rId7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Q7" i="1"/>
  <c r="H3" i="8" l="1"/>
  <c r="C5" i="8" s="1"/>
  <c r="H2" i="8"/>
  <c r="C4" i="8" s="1"/>
  <c r="H10" i="8"/>
  <c r="F5" i="8" l="1"/>
  <c r="C10" i="8" a="1"/>
  <c r="D10" i="8" s="1"/>
  <c r="F4" i="8"/>
  <c r="C10" i="8" l="1"/>
  <c r="D11" i="8"/>
  <c r="F10" i="8" s="1" a="1"/>
  <c r="F10" i="8" s="1"/>
  <c r="H11" i="8" s="1"/>
  <c r="C11" i="8"/>
  <c r="B4" i="5"/>
  <c r="F6" i="6"/>
  <c r="F5" i="6"/>
  <c r="H4" i="6"/>
  <c r="B6" i="6" s="1"/>
  <c r="F4" i="6"/>
  <c r="B4" i="6"/>
  <c r="H3" i="6"/>
  <c r="C5" i="6" s="1"/>
  <c r="H2" i="6"/>
  <c r="C4" i="6" s="1"/>
  <c r="I3" i="5"/>
  <c r="F5" i="5" s="1"/>
  <c r="H3" i="5"/>
  <c r="B5" i="5" s="1"/>
  <c r="I2" i="5"/>
  <c r="F4" i="5" s="1"/>
  <c r="H2" i="5"/>
  <c r="F11" i="8" l="1"/>
  <c r="H12" i="8" s="1"/>
  <c r="B9" i="5" a="1"/>
  <c r="B9" i="5" s="1"/>
  <c r="C6" i="6"/>
  <c r="B5" i="6"/>
  <c r="B10" i="6" s="1" a="1"/>
  <c r="I4" i="4"/>
  <c r="B6" i="4" s="1"/>
  <c r="H4" i="4"/>
  <c r="C6" i="4" s="1"/>
  <c r="I3" i="4"/>
  <c r="B5" i="4" s="1"/>
  <c r="H3" i="4"/>
  <c r="I2" i="4"/>
  <c r="B4" i="4" s="1"/>
  <c r="H2" i="4"/>
  <c r="C10" i="5" l="1"/>
  <c r="C9" i="5"/>
  <c r="B10" i="5"/>
  <c r="B12" i="6"/>
  <c r="C11" i="6"/>
  <c r="B11" i="6"/>
  <c r="D12" i="6"/>
  <c r="B10" i="6"/>
  <c r="C12" i="6"/>
  <c r="D10" i="6"/>
  <c r="C10" i="6"/>
  <c r="D11" i="6"/>
  <c r="F6" i="4"/>
  <c r="F5" i="4"/>
  <c r="F4" i="4"/>
  <c r="C4" i="4"/>
  <c r="C5" i="4"/>
  <c r="I4" i="3"/>
  <c r="B6" i="3" s="1"/>
  <c r="H4" i="3"/>
  <c r="I3" i="3"/>
  <c r="B5" i="3" s="1"/>
  <c r="H3" i="3"/>
  <c r="C5" i="3" s="1"/>
  <c r="I2" i="3"/>
  <c r="B4" i="3" s="1"/>
  <c r="H2" i="3"/>
  <c r="F4" i="3" s="1"/>
  <c r="B10" i="4" l="1" a="1"/>
  <c r="B10" i="4" s="1"/>
  <c r="F9" i="5" a="1"/>
  <c r="F9" i="5" s="1"/>
  <c r="I10" i="5" s="1"/>
  <c r="F10" i="6" a="1"/>
  <c r="F11" i="6" s="1"/>
  <c r="F6" i="3"/>
  <c r="C6" i="3"/>
  <c r="C4" i="3"/>
  <c r="B10" i="3" s="1" a="1"/>
  <c r="F5" i="3"/>
  <c r="F5" i="2"/>
  <c r="F6" i="2"/>
  <c r="F4" i="2"/>
  <c r="H4" i="2"/>
  <c r="C6" i="2" s="1"/>
  <c r="H3" i="2"/>
  <c r="B5" i="2" s="1"/>
  <c r="H2" i="2"/>
  <c r="B4" i="2" s="1"/>
  <c r="D12" i="4" l="1"/>
  <c r="D11" i="4"/>
  <c r="C10" i="4"/>
  <c r="D10" i="4"/>
  <c r="B11" i="4"/>
  <c r="B12" i="4"/>
  <c r="C11" i="4"/>
  <c r="C12" i="4"/>
  <c r="C5" i="2"/>
  <c r="C4" i="2"/>
  <c r="B6" i="2"/>
  <c r="F10" i="5"/>
  <c r="I11" i="5" s="1"/>
  <c r="F10" i="6"/>
  <c r="I12" i="6" s="1"/>
  <c r="I11" i="6" s="1"/>
  <c r="F12" i="6"/>
  <c r="C12" i="3"/>
  <c r="B12" i="3"/>
  <c r="D11" i="3"/>
  <c r="C10" i="3"/>
  <c r="C11" i="3"/>
  <c r="D10" i="3"/>
  <c r="B11" i="3"/>
  <c r="D12" i="3"/>
  <c r="B10" i="3"/>
  <c r="I3" i="1"/>
  <c r="B5" i="1" s="1"/>
  <c r="I4" i="1"/>
  <c r="B6" i="1" s="1"/>
  <c r="I2" i="1"/>
  <c r="B4" i="1" s="1"/>
  <c r="H3" i="1"/>
  <c r="C5" i="1" s="1"/>
  <c r="H4" i="1"/>
  <c r="C6" i="1" s="1"/>
  <c r="H2" i="1"/>
  <c r="F10" i="4" l="1" a="1"/>
  <c r="F11" i="4" s="1"/>
  <c r="I11" i="4" s="1"/>
  <c r="B10" i="2" a="1"/>
  <c r="D11" i="2" s="1"/>
  <c r="I10" i="6"/>
  <c r="F10" i="3" a="1"/>
  <c r="F12" i="3" s="1"/>
  <c r="F4" i="1"/>
  <c r="C4" i="1"/>
  <c r="B10" i="1" s="1" a="1"/>
  <c r="B10" i="1" s="1"/>
  <c r="F6" i="1"/>
  <c r="F5" i="1"/>
  <c r="F10" i="4" l="1"/>
  <c r="I12" i="4" s="1"/>
  <c r="F12" i="4"/>
  <c r="C11" i="2"/>
  <c r="C12" i="2"/>
  <c r="C10" i="2"/>
  <c r="D12" i="2"/>
  <c r="B11" i="2"/>
  <c r="D10" i="2"/>
  <c r="B10" i="2"/>
  <c r="B12" i="2"/>
  <c r="I10" i="4"/>
  <c r="F10" i="3"/>
  <c r="I10" i="3" s="1"/>
  <c r="F11" i="3"/>
  <c r="I12" i="3" s="1"/>
  <c r="C10" i="1"/>
  <c r="D11" i="1"/>
  <c r="D12" i="1"/>
  <c r="C12" i="1"/>
  <c r="D10" i="1"/>
  <c r="B12" i="1"/>
  <c r="C11" i="1"/>
  <c r="B11" i="1"/>
  <c r="F10" i="2" l="1" a="1"/>
  <c r="F12" i="2" s="1"/>
  <c r="I11" i="3"/>
  <c r="F10" i="1" a="1"/>
  <c r="F10" i="1" s="1"/>
  <c r="I10" i="1" s="1"/>
  <c r="T5" i="1" l="1"/>
  <c r="U5" i="1"/>
  <c r="R5" i="1"/>
  <c r="Q5" i="1"/>
  <c r="F10" i="2"/>
  <c r="I10" i="2" s="1"/>
  <c r="F11" i="2"/>
  <c r="F12" i="1"/>
  <c r="F11" i="1"/>
  <c r="I11" i="1" s="1"/>
  <c r="U6" i="1" l="1"/>
  <c r="R6" i="1"/>
  <c r="Q6" i="1"/>
  <c r="T6" i="1"/>
  <c r="I12" i="1"/>
  <c r="I11" i="2"/>
  <c r="I12" i="2" s="1"/>
</calcChain>
</file>

<file path=xl/sharedStrings.xml><?xml version="1.0" encoding="utf-8"?>
<sst xmlns="http://schemas.openxmlformats.org/spreadsheetml/2006/main" count="74" uniqueCount="33">
  <si>
    <t>angle in</t>
  </si>
  <si>
    <t>angle out</t>
  </si>
  <si>
    <t>angle in rad</t>
  </si>
  <si>
    <t>angle out rad</t>
  </si>
  <si>
    <t>a</t>
  </si>
  <si>
    <t>b</t>
  </si>
  <si>
    <t>c</t>
  </si>
  <si>
    <t>d</t>
  </si>
  <si>
    <t>displacement out</t>
  </si>
  <si>
    <t>K1</t>
  </si>
  <si>
    <t>K2</t>
  </si>
  <si>
    <t>K3</t>
  </si>
  <si>
    <t>Matriz inversa</t>
  </si>
  <si>
    <t>k1</t>
  </si>
  <si>
    <t>k2</t>
  </si>
  <si>
    <t>input link length</t>
  </si>
  <si>
    <t>x1</t>
  </si>
  <si>
    <t>y1</t>
  </si>
  <si>
    <t>y3</t>
  </si>
  <si>
    <t>x3</t>
  </si>
  <si>
    <r>
      <t xml:space="preserve">angle in </t>
    </r>
    <r>
      <rPr>
        <b/>
        <sz val="11"/>
        <color theme="1"/>
        <rFont val="Symbol"/>
        <family val="1"/>
        <charset val="2"/>
      </rPr>
      <t>f</t>
    </r>
  </si>
  <si>
    <r>
      <t xml:space="preserve">angle out </t>
    </r>
    <r>
      <rPr>
        <b/>
        <sz val="11"/>
        <color theme="1"/>
        <rFont val="Symbol"/>
        <family val="1"/>
        <charset val="2"/>
      </rPr>
      <t>y</t>
    </r>
  </si>
  <si>
    <r>
      <t xml:space="preserve">angle in rad </t>
    </r>
    <r>
      <rPr>
        <b/>
        <sz val="11"/>
        <color theme="1"/>
        <rFont val="Symbol"/>
        <family val="1"/>
        <charset val="2"/>
      </rPr>
      <t>f</t>
    </r>
  </si>
  <si>
    <r>
      <t xml:space="preserve">angle out rad </t>
    </r>
    <r>
      <rPr>
        <b/>
        <sz val="11"/>
        <color theme="1"/>
        <rFont val="Symbol"/>
        <family val="1"/>
        <charset val="2"/>
      </rPr>
      <t>y</t>
    </r>
  </si>
  <si>
    <r>
      <t xml:space="preserve">angle out rad </t>
    </r>
    <r>
      <rPr>
        <b/>
        <sz val="11"/>
        <color theme="1"/>
        <rFont val="Symbol"/>
        <family val="1"/>
        <charset val="2"/>
      </rPr>
      <t>q</t>
    </r>
  </si>
  <si>
    <r>
      <t xml:space="preserve">angle out </t>
    </r>
    <r>
      <rPr>
        <b/>
        <sz val="11"/>
        <color theme="1"/>
        <rFont val="Symbol"/>
        <family val="1"/>
        <charset val="2"/>
      </rPr>
      <t>q</t>
    </r>
  </si>
  <si>
    <r>
      <t xml:space="preserve">angle in </t>
    </r>
    <r>
      <rPr>
        <sz val="11"/>
        <color theme="1"/>
        <rFont val="Symbol"/>
        <family val="1"/>
        <charset val="2"/>
      </rPr>
      <t>q</t>
    </r>
  </si>
  <si>
    <r>
      <t xml:space="preserve">angle out </t>
    </r>
    <r>
      <rPr>
        <sz val="11"/>
        <color theme="1"/>
        <rFont val="Symbol"/>
        <family val="1"/>
        <charset val="2"/>
      </rPr>
      <t>y</t>
    </r>
  </si>
  <si>
    <r>
      <t xml:space="preserve">angle out rad </t>
    </r>
    <r>
      <rPr>
        <sz val="11"/>
        <color theme="1"/>
        <rFont val="Symbol"/>
        <family val="1"/>
        <charset val="2"/>
      </rPr>
      <t>y</t>
    </r>
  </si>
  <si>
    <r>
      <t xml:space="preserve">angle in rad </t>
    </r>
    <r>
      <rPr>
        <sz val="11"/>
        <color theme="1"/>
        <rFont val="Symbol"/>
        <family val="1"/>
        <charset val="2"/>
      </rPr>
      <t>q</t>
    </r>
  </si>
  <si>
    <t>displacement out d</t>
  </si>
  <si>
    <r>
      <t xml:space="preserve">angle in </t>
    </r>
    <r>
      <rPr>
        <b/>
        <sz val="11"/>
        <color theme="1"/>
        <rFont val="Symbol"/>
        <family val="1"/>
        <charset val="2"/>
      </rPr>
      <t>q</t>
    </r>
  </si>
  <si>
    <r>
      <t xml:space="preserve">angle in rad </t>
    </r>
    <r>
      <rPr>
        <b/>
        <sz val="11"/>
        <color theme="1"/>
        <rFont val="Symbol"/>
        <family val="1"/>
        <charset val="2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</si>
</sst>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0" fillId="0" borderId="2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9" xfId="0" applyFont="1" applyFill="1" applyBorder="1"/>
    <xf numFmtId="0" fontId="0" fillId="3" borderId="13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posicion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'4bar theta2-theta4'!$Q$4:$Q$7</c:f>
              <c:numCache>
                <c:formatCode>General</c:formatCode>
                <c:ptCount val="4"/>
                <c:pt idx="0">
                  <c:v>0</c:v>
                </c:pt>
                <c:pt idx="1">
                  <c:v>0.19344133806031671</c:v>
                </c:pt>
                <c:pt idx="2">
                  <c:v>1</c:v>
                </c:pt>
                <c:pt idx="3">
                  <c:v>1</c:v>
                </c:pt>
              </c:numCache>
            </c:numRef>
          </c:xVal>
          <c:yVal>
            <c:numRef>
              <c:f>'4bar theta2-theta4'!$R$4:$R$7</c:f>
              <c:numCache>
                <c:formatCode>General</c:formatCode>
                <c:ptCount val="4"/>
                <c:pt idx="0">
                  <c:v>0</c:v>
                </c:pt>
                <c:pt idx="1">
                  <c:v>1.097060343703997</c:v>
                </c:pt>
                <c:pt idx="2">
                  <c:v>0.23606148971261331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B-4B11-830B-2817D990B026}"/>
            </c:ext>
          </c:extLst>
        </c:ser>
        <c:ser>
          <c:idx val="1"/>
          <c:order val="1"/>
          <c:tx>
            <c:v>posicion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'4bar theta2-theta4'!$T$4:$T$7</c:f>
              <c:numCache>
                <c:formatCode>General</c:formatCode>
                <c:ptCount val="4"/>
                <c:pt idx="0">
                  <c:v>0</c:v>
                </c:pt>
                <c:pt idx="1">
                  <c:v>0.5569921339207804</c:v>
                </c:pt>
                <c:pt idx="2">
                  <c:v>1.2360614897126134</c:v>
                </c:pt>
                <c:pt idx="3">
                  <c:v>1</c:v>
                </c:pt>
              </c:numCache>
            </c:numRef>
          </c:xVal>
          <c:yVal>
            <c:numRef>
              <c:f>'4bar theta2-theta4'!$U$4:$U$7</c:f>
              <c:numCache>
                <c:formatCode>General</c:formatCode>
                <c:ptCount val="4"/>
                <c:pt idx="0">
                  <c:v>0</c:v>
                </c:pt>
                <c:pt idx="1">
                  <c:v>0.96473867536699964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B-4B11-830B-2817D990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22272"/>
        <c:axId val="145554464"/>
      </c:scatterChart>
      <c:valAx>
        <c:axId val="14292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5554464"/>
        <c:crosses val="autoZero"/>
        <c:crossBetween val="midCat"/>
      </c:valAx>
      <c:valAx>
        <c:axId val="1455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292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11045494313214"/>
          <c:y val="1.9304826480023306E-2"/>
          <c:w val="0.16604767340885365"/>
          <c:h val="0.14313077277554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400050</xdr:colOff>
      <xdr:row>11</xdr:row>
      <xdr:rowOff>7620</xdr:rowOff>
    </xdr:from>
    <xdr:to>
      <xdr:col>22</xdr:col>
      <xdr:colOff>525780</xdr:colOff>
      <xdr:row>27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6D27D-2E8F-4476-B271-D10C91E9A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14</xdr:row>
      <xdr:rowOff>7620</xdr:rowOff>
    </xdr:from>
    <xdr:to>
      <xdr:col>6</xdr:col>
      <xdr:colOff>296728</xdr:colOff>
      <xdr:row>27</xdr:row>
      <xdr:rowOff>144466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290F1C-A135-4294-9679-DAEEF99C5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2621280"/>
          <a:ext cx="3619048" cy="2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494848</xdr:colOff>
      <xdr:row>27</xdr:row>
      <xdr:rowOff>136846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CA1D7-1CD2-4FFC-9054-666953DA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598420"/>
          <a:ext cx="3619048" cy="2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494848</xdr:colOff>
      <xdr:row>27</xdr:row>
      <xdr:rowOff>136846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C89D4-61FD-41B7-8AE2-794E3D28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598420"/>
          <a:ext cx="3619048" cy="25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6</xdr:col>
      <xdr:colOff>287204</xdr:colOff>
      <xdr:row>28</xdr:row>
      <xdr:rowOff>113943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0F90D-CA73-46FF-9748-DF9DCE15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423160"/>
          <a:ext cx="3609524" cy="28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6</xdr:col>
      <xdr:colOff>485324</xdr:colOff>
      <xdr:row>28</xdr:row>
      <xdr:rowOff>113943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0F14E-2285-47A5-A5C2-4F51D2B6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423160"/>
          <a:ext cx="3609524" cy="2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3"/>
  <sheetViews>
    <sheetView zoomScaleNormal="100" workbookViewId="0">
      <selection activeCell="I18" sqref="I18"/>
    </sheetView>
  </sheetViews>
  <sheetFormatPr defaultColWidth="9.109375" defaultRowHeight="14.4" x14ac:dyDescent="0.3"/>
  <cols>
    <col min="2" max="2" width="12" bestFit="1" customWidth="1"/>
    <col min="8" max="8" width="12.33203125" bestFit="1" customWidth="1"/>
    <col min="9" max="9" width="14.109375" bestFit="1" customWidth="1"/>
    <col min="12" max="12" width="10.77734375" bestFit="1" customWidth="1"/>
  </cols>
  <sheetData>
    <row r="1" spans="2:21" ht="15" thickBot="1" x14ac:dyDescent="0.35">
      <c r="H1" s="31" t="s">
        <v>22</v>
      </c>
      <c r="I1" s="31" t="s">
        <v>23</v>
      </c>
      <c r="K1" s="31" t="s">
        <v>20</v>
      </c>
      <c r="L1" s="31" t="s">
        <v>21</v>
      </c>
    </row>
    <row r="2" spans="2:21" x14ac:dyDescent="0.3">
      <c r="H2" s="22">
        <f>K2*PI()/180</f>
        <v>1.3962634015954636</v>
      </c>
      <c r="I2" s="12">
        <f>L2*PI()/180</f>
        <v>1.5707963267948966</v>
      </c>
      <c r="K2" s="7">
        <v>80</v>
      </c>
      <c r="L2" s="2">
        <v>90</v>
      </c>
    </row>
    <row r="3" spans="2:21" ht="15" thickBot="1" x14ac:dyDescent="0.35">
      <c r="H3" s="23">
        <f t="shared" ref="H3:H4" si="0">K3*PI()/180</f>
        <v>1.2217304763960306</v>
      </c>
      <c r="I3" s="13">
        <f t="shared" ref="I3:I4" si="1">L3*PI()/180</f>
        <v>0.78539816339744828</v>
      </c>
      <c r="K3" s="8">
        <v>70</v>
      </c>
      <c r="L3" s="4">
        <v>45</v>
      </c>
      <c r="Q3" t="s">
        <v>16</v>
      </c>
      <c r="R3" t="s">
        <v>17</v>
      </c>
      <c r="T3" t="s">
        <v>19</v>
      </c>
      <c r="U3" t="s">
        <v>18</v>
      </c>
    </row>
    <row r="4" spans="2:21" ht="15" thickBot="1" x14ac:dyDescent="0.35">
      <c r="B4" s="16">
        <f>COS(I2)</f>
        <v>6.1257422745431001E-17</v>
      </c>
      <c r="C4" s="17">
        <f>-COS(H2)</f>
        <v>-0.17364817766693041</v>
      </c>
      <c r="D4" s="12">
        <v>1</v>
      </c>
      <c r="F4" s="22">
        <f>COS(H2-I2)</f>
        <v>0.98480775301220802</v>
      </c>
      <c r="H4" s="24">
        <f t="shared" si="0"/>
        <v>1.0471975511965976</v>
      </c>
      <c r="I4" s="14">
        <f t="shared" si="1"/>
        <v>0</v>
      </c>
      <c r="K4" s="9">
        <v>60</v>
      </c>
      <c r="L4" s="6">
        <v>0</v>
      </c>
      <c r="Q4">
        <v>0</v>
      </c>
      <c r="R4">
        <v>0</v>
      </c>
      <c r="T4">
        <v>0</v>
      </c>
      <c r="U4">
        <v>0</v>
      </c>
    </row>
    <row r="5" spans="2:21" x14ac:dyDescent="0.3">
      <c r="B5" s="18">
        <f t="shared" ref="B5:B6" si="2">COS(I3)</f>
        <v>0.70710678118654757</v>
      </c>
      <c r="C5" s="19">
        <f>-COS(H3)</f>
        <v>-0.34202014332566882</v>
      </c>
      <c r="D5" s="13">
        <v>1</v>
      </c>
      <c r="F5" s="23">
        <f t="shared" ref="F5:F6" si="3">COS(H3-I3)</f>
        <v>0.90630778703664994</v>
      </c>
      <c r="Q5">
        <f>I10*COS(H2)</f>
        <v>0.19344133806031671</v>
      </c>
      <c r="R5">
        <f>I10*SIN(H2)</f>
        <v>1.097060343703997</v>
      </c>
      <c r="T5">
        <f>I10*COS(H4)</f>
        <v>0.5569921339207804</v>
      </c>
      <c r="U5">
        <f>I10*SIN(H4)</f>
        <v>0.96473867536699964</v>
      </c>
    </row>
    <row r="6" spans="2:21" ht="15" thickBot="1" x14ac:dyDescent="0.35">
      <c r="B6" s="20">
        <f t="shared" si="2"/>
        <v>1</v>
      </c>
      <c r="C6" s="21">
        <f>-COS(H4)</f>
        <v>-0.50000000000000011</v>
      </c>
      <c r="D6" s="14">
        <v>1</v>
      </c>
      <c r="F6" s="24">
        <f t="shared" si="3"/>
        <v>0.50000000000000011</v>
      </c>
      <c r="Q6">
        <f>Q7+I11*COS(I2)</f>
        <v>1</v>
      </c>
      <c r="R6">
        <f>I11*SIN(I2)</f>
        <v>0.23606148971261331</v>
      </c>
      <c r="T6">
        <f>Q7+I11*COS(I4)</f>
        <v>1.2360614897126134</v>
      </c>
      <c r="U6">
        <f>I11*SIN(I4)</f>
        <v>0</v>
      </c>
    </row>
    <row r="7" spans="2:21" x14ac:dyDescent="0.3">
      <c r="Q7">
        <f>I13</f>
        <v>1</v>
      </c>
      <c r="R7">
        <v>0</v>
      </c>
      <c r="T7">
        <f>I13</f>
        <v>1</v>
      </c>
      <c r="U7">
        <v>0</v>
      </c>
    </row>
    <row r="9" spans="2:21" ht="15" thickBot="1" x14ac:dyDescent="0.35"/>
    <row r="10" spans="2:21" x14ac:dyDescent="0.3">
      <c r="B10" s="16">
        <f t="array" ref="B10:D12">MINVERSE(B4:D6)</f>
        <v>-2.5319873126377215</v>
      </c>
      <c r="C10" s="17">
        <v>5.2305318601912187</v>
      </c>
      <c r="D10" s="12">
        <v>-2.6985445475534986</v>
      </c>
      <c r="F10" s="22">
        <f t="array" ref="F10:F12">MMULT(B10:D12,F4:F6)</f>
        <v>0.89767874544367232</v>
      </c>
      <c r="G10" s="28" t="s">
        <v>9</v>
      </c>
      <c r="I10" s="22">
        <f>I13/F10</f>
        <v>1.1139842678415606</v>
      </c>
      <c r="J10" s="25" t="s">
        <v>4</v>
      </c>
    </row>
    <row r="11" spans="2:21" x14ac:dyDescent="0.3">
      <c r="B11" s="18">
        <v>-4.6942814710996119</v>
      </c>
      <c r="C11" s="19">
        <v>16.027279464225018</v>
      </c>
      <c r="D11" s="13">
        <v>-11.332997993125408</v>
      </c>
      <c r="F11" s="23">
        <v>4.2361843993165635</v>
      </c>
      <c r="G11" s="29" t="s">
        <v>10</v>
      </c>
      <c r="I11" s="23">
        <f>I13/F11</f>
        <v>0.23606148971261331</v>
      </c>
      <c r="J11" s="26" t="s">
        <v>6</v>
      </c>
    </row>
    <row r="12" spans="2:21" ht="15" thickBot="1" x14ac:dyDescent="0.35">
      <c r="B12" s="20">
        <v>0.18484657708791524</v>
      </c>
      <c r="C12" s="21">
        <v>2.7831078719212914</v>
      </c>
      <c r="D12" s="14">
        <v>-1.9679544490092067</v>
      </c>
      <c r="F12" s="24">
        <v>1.7204134542146097</v>
      </c>
      <c r="G12" s="30" t="s">
        <v>11</v>
      </c>
      <c r="I12" s="24">
        <f>SQRT(I10^2+I11^2+I13^2-2*I10*I11*F12)</f>
        <v>1.1797694273562136</v>
      </c>
      <c r="J12" s="26" t="s">
        <v>5</v>
      </c>
    </row>
    <row r="13" spans="2:21" ht="15" thickBot="1" x14ac:dyDescent="0.35">
      <c r="B13" s="15" t="s">
        <v>12</v>
      </c>
      <c r="C13" s="15"/>
      <c r="D13" s="15"/>
      <c r="I13" s="9">
        <v>1</v>
      </c>
      <c r="J13" s="27" t="s">
        <v>7</v>
      </c>
    </row>
  </sheetData>
  <mergeCells count="1">
    <mergeCell ref="B13:D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3"/>
  <sheetViews>
    <sheetView workbookViewId="0">
      <selection activeCell="J22" sqref="J22"/>
    </sheetView>
  </sheetViews>
  <sheetFormatPr defaultColWidth="9.109375" defaultRowHeight="14.4" x14ac:dyDescent="0.3"/>
  <cols>
    <col min="8" max="8" width="12" bestFit="1" customWidth="1"/>
    <col min="9" max="9" width="13.21875" bestFit="1" customWidth="1"/>
    <col min="12" max="12" width="10" bestFit="1" customWidth="1"/>
  </cols>
  <sheetData>
    <row r="1" spans="2:12" ht="15" thickBot="1" x14ac:dyDescent="0.35">
      <c r="H1" s="31" t="s">
        <v>22</v>
      </c>
      <c r="I1" s="32" t="s">
        <v>24</v>
      </c>
      <c r="K1" s="33" t="s">
        <v>20</v>
      </c>
      <c r="L1" s="25" t="s">
        <v>25</v>
      </c>
    </row>
    <row r="2" spans="2:12" x14ac:dyDescent="0.3">
      <c r="H2" s="22">
        <f>K2*PI()/180</f>
        <v>0.78539816339744828</v>
      </c>
      <c r="I2" s="12">
        <f>L2*PI()/180</f>
        <v>1.0471975511965976</v>
      </c>
      <c r="K2" s="7">
        <v>45</v>
      </c>
      <c r="L2" s="2">
        <v>60</v>
      </c>
    </row>
    <row r="3" spans="2:12" ht="15" thickBot="1" x14ac:dyDescent="0.35">
      <c r="H3" s="23">
        <f t="shared" ref="H3:I4" si="0">K3*PI()/180</f>
        <v>1.0471975511965976</v>
      </c>
      <c r="I3" s="13">
        <f t="shared" si="0"/>
        <v>0.87266462599716477</v>
      </c>
      <c r="K3" s="8">
        <v>60</v>
      </c>
      <c r="L3" s="4">
        <v>50</v>
      </c>
    </row>
    <row r="4" spans="2:12" ht="15" thickBot="1" x14ac:dyDescent="0.35">
      <c r="B4" s="16">
        <f>COS(I2)</f>
        <v>0.50000000000000011</v>
      </c>
      <c r="C4" s="17">
        <f>COS(H2)</f>
        <v>0.70710678118654757</v>
      </c>
      <c r="D4" s="12">
        <v>1</v>
      </c>
      <c r="F4" s="22">
        <f>COS(H2-I2)</f>
        <v>0.96592582628906831</v>
      </c>
      <c r="H4" s="24">
        <f t="shared" si="0"/>
        <v>1.3089969389957472</v>
      </c>
      <c r="I4" s="14">
        <f t="shared" si="0"/>
        <v>0.69813170079773179</v>
      </c>
      <c r="K4" s="9">
        <v>75</v>
      </c>
      <c r="L4" s="6">
        <v>40</v>
      </c>
    </row>
    <row r="5" spans="2:12" x14ac:dyDescent="0.3">
      <c r="B5" s="18">
        <f t="shared" ref="B5:B6" si="1">COS(I3)</f>
        <v>0.64278760968653936</v>
      </c>
      <c r="C5" s="19">
        <f>COS(H3)</f>
        <v>0.50000000000000011</v>
      </c>
      <c r="D5" s="13">
        <v>1</v>
      </c>
      <c r="F5" s="23">
        <f t="shared" ref="F5:F6" si="2">COS(H3-I3)</f>
        <v>0.98480775301220802</v>
      </c>
    </row>
    <row r="6" spans="2:12" ht="15" thickBot="1" x14ac:dyDescent="0.35">
      <c r="B6" s="20">
        <f t="shared" si="1"/>
        <v>0.76604444311897801</v>
      </c>
      <c r="C6" s="21">
        <f>COS(H4)</f>
        <v>0.25881904510252074</v>
      </c>
      <c r="D6" s="14">
        <v>1</v>
      </c>
      <c r="F6" s="24">
        <f t="shared" si="2"/>
        <v>0.8191520442889918</v>
      </c>
    </row>
    <row r="9" spans="2:12" ht="15" thickBot="1" x14ac:dyDescent="0.35"/>
    <row r="10" spans="2:12" x14ac:dyDescent="0.3">
      <c r="B10" s="16">
        <f t="array" ref="B10:D12">MINVERSE(B4:D6)</f>
        <v>-27.06757916021224</v>
      </c>
      <c r="C10" s="17">
        <v>50.311036326084071</v>
      </c>
      <c r="D10" s="12">
        <v>-23.243457165871828</v>
      </c>
      <c r="F10" s="22">
        <f t="array" ref="F10:F12">MMULT(B10:D12,F4:F6)</f>
        <v>4.3614994162661276</v>
      </c>
      <c r="G10" s="28" t="s">
        <v>9</v>
      </c>
      <c r="I10" s="22">
        <f>I13/F10</f>
        <v>6.8783684546914259</v>
      </c>
      <c r="J10" s="25" t="s">
        <v>4</v>
      </c>
    </row>
    <row r="11" spans="2:12" x14ac:dyDescent="0.3">
      <c r="B11" s="18">
        <v>-13.83303294983553</v>
      </c>
      <c r="C11" s="19">
        <v>29.857992009852424</v>
      </c>
      <c r="D11" s="13">
        <v>-16.02495906001689</v>
      </c>
      <c r="F11" s="23">
        <v>2.9158202648651965</v>
      </c>
      <c r="G11" s="29" t="s">
        <v>10</v>
      </c>
      <c r="I11" s="23">
        <f>SQRT(2*I10*I12*F12+I10^2+I12^2+I13^2)</f>
        <v>24.277560798355442</v>
      </c>
      <c r="J11" s="26" t="s">
        <v>6</v>
      </c>
    </row>
    <row r="12" spans="2:12" ht="15" thickBot="1" x14ac:dyDescent="0.35">
      <c r="B12" s="20">
        <v>24.315220983311779</v>
      </c>
      <c r="C12" s="21">
        <v>-46.268306785822446</v>
      </c>
      <c r="D12" s="14">
        <v>22.953085802510664</v>
      </c>
      <c r="F12" s="24">
        <v>-3.2766201638513301</v>
      </c>
      <c r="G12" s="30" t="s">
        <v>11</v>
      </c>
      <c r="I12" s="24">
        <f>I13/F11</f>
        <v>10.288700014020566</v>
      </c>
      <c r="J12" s="26" t="s">
        <v>5</v>
      </c>
    </row>
    <row r="13" spans="2:12" ht="15" thickBot="1" x14ac:dyDescent="0.35">
      <c r="B13" s="15" t="s">
        <v>12</v>
      </c>
      <c r="C13" s="15"/>
      <c r="D13" s="15"/>
      <c r="I13" s="9">
        <v>30</v>
      </c>
      <c r="J13" s="27" t="s">
        <v>7</v>
      </c>
    </row>
  </sheetData>
  <mergeCells count="1">
    <mergeCell ref="B13:D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3"/>
  <sheetViews>
    <sheetView workbookViewId="0">
      <selection activeCell="I21" sqref="I21"/>
    </sheetView>
  </sheetViews>
  <sheetFormatPr defaultColWidth="9.109375" defaultRowHeight="14.4" x14ac:dyDescent="0.3"/>
  <cols>
    <col min="8" max="8" width="12" bestFit="1" customWidth="1"/>
    <col min="9" max="9" width="13.5546875" bestFit="1" customWidth="1"/>
    <col min="12" max="12" width="10.33203125" bestFit="1" customWidth="1"/>
  </cols>
  <sheetData>
    <row r="1" spans="2:12" ht="15" thickBot="1" x14ac:dyDescent="0.35">
      <c r="H1" s="35" t="s">
        <v>29</v>
      </c>
      <c r="I1" s="34" t="s">
        <v>28</v>
      </c>
      <c r="K1" s="35" t="s">
        <v>26</v>
      </c>
      <c r="L1" s="34" t="s">
        <v>27</v>
      </c>
    </row>
    <row r="2" spans="2:12" x14ac:dyDescent="0.3">
      <c r="H2" s="23">
        <f>K2*PI()/180</f>
        <v>0.43633231299858238</v>
      </c>
      <c r="I2" s="13">
        <f>L2*PI()/180</f>
        <v>2.6179938779914944</v>
      </c>
      <c r="K2" s="8">
        <v>25</v>
      </c>
      <c r="L2" s="2">
        <v>150</v>
      </c>
    </row>
    <row r="3" spans="2:12" ht="15" thickBot="1" x14ac:dyDescent="0.35">
      <c r="H3" s="23">
        <f t="shared" ref="H3:I4" si="0">K3*PI()/180</f>
        <v>0.6108652381980153</v>
      </c>
      <c r="I3" s="13">
        <f t="shared" si="0"/>
        <v>2.4434609527920612</v>
      </c>
      <c r="K3" s="8">
        <v>35</v>
      </c>
      <c r="L3" s="4">
        <v>140</v>
      </c>
    </row>
    <row r="4" spans="2:12" ht="15" thickBot="1" x14ac:dyDescent="0.35">
      <c r="B4" s="16">
        <f>COS(I2)</f>
        <v>-0.86602540378443871</v>
      </c>
      <c r="C4" s="17">
        <f>-COS(H2)</f>
        <v>-0.90630778703664994</v>
      </c>
      <c r="D4" s="12">
        <v>1</v>
      </c>
      <c r="F4" s="22">
        <f>COS(H2-I2)</f>
        <v>-0.57357643635104616</v>
      </c>
      <c r="H4" s="24">
        <f t="shared" si="0"/>
        <v>0.78539816339744828</v>
      </c>
      <c r="I4" s="14">
        <f t="shared" si="0"/>
        <v>2.0943951023931953</v>
      </c>
      <c r="K4" s="9">
        <v>45</v>
      </c>
      <c r="L4" s="6">
        <v>120</v>
      </c>
    </row>
    <row r="5" spans="2:12" x14ac:dyDescent="0.3">
      <c r="B5" s="18">
        <f t="shared" ref="B5:B6" si="1">COS(I3)</f>
        <v>-0.7660444431189779</v>
      </c>
      <c r="C5" s="19">
        <f>-COS(H3)</f>
        <v>-0.8191520442889918</v>
      </c>
      <c r="D5" s="13">
        <v>1</v>
      </c>
      <c r="F5" s="23">
        <f t="shared" ref="F5:F6" si="2">COS(H3-I3)</f>
        <v>-0.25881904510252063</v>
      </c>
    </row>
    <row r="6" spans="2:12" ht="15" thickBot="1" x14ac:dyDescent="0.35">
      <c r="B6" s="20">
        <f t="shared" si="1"/>
        <v>-0.49999999999999978</v>
      </c>
      <c r="C6" s="21">
        <f>-COS(H4)</f>
        <v>-0.70710678118654757</v>
      </c>
      <c r="D6" s="14">
        <v>1</v>
      </c>
      <c r="F6" s="24">
        <f t="shared" si="2"/>
        <v>0.25881904510252096</v>
      </c>
    </row>
    <row r="9" spans="2:12" ht="15" thickBot="1" x14ac:dyDescent="0.35"/>
    <row r="10" spans="2:12" x14ac:dyDescent="0.3">
      <c r="B10" s="16">
        <f t="array" ref="B10:D12">MINVERSE(B4:D6)</f>
        <v>9.3488630111968227</v>
      </c>
      <c r="C10" s="17">
        <v>-16.620987481483265</v>
      </c>
      <c r="D10" s="12">
        <v>7.272124470286446</v>
      </c>
      <c r="F10" s="22">
        <f t="array" ref="F10:F12">MMULT(B10:D12,F4:F6)</f>
        <v>0.82170488998827818</v>
      </c>
      <c r="G10" s="28" t="s">
        <v>9</v>
      </c>
      <c r="I10" s="22">
        <f>SQRT(I12^2+I11^2+I13^2-2*I12*I11*F12)</f>
        <v>16.145179450728289</v>
      </c>
      <c r="J10" s="25" t="s">
        <v>4</v>
      </c>
    </row>
    <row r="11" spans="2:12" x14ac:dyDescent="0.3">
      <c r="B11" s="18">
        <v>-22.19828830546264</v>
      </c>
      <c r="C11" s="19">
        <v>30.540526782198935</v>
      </c>
      <c r="D11" s="13">
        <v>-8.3422384767362932</v>
      </c>
      <c r="F11" s="23">
        <v>2.6688149240772834</v>
      </c>
      <c r="G11" s="29" t="s">
        <v>10</v>
      </c>
      <c r="I11" s="23">
        <f>I13/F11</f>
        <v>11.240944334261847</v>
      </c>
      <c r="J11" s="26" t="s">
        <v>6</v>
      </c>
    </row>
    <row r="12" spans="2:12" ht="15" thickBot="1" x14ac:dyDescent="0.35">
      <c r="B12" s="20">
        <v>-11.02212868592826</v>
      </c>
      <c r="C12" s="21">
        <v>13.284919847960609</v>
      </c>
      <c r="D12" s="14">
        <v>-1.2627911620323464</v>
      </c>
      <c r="F12" s="24">
        <v>2.5568086206435678</v>
      </c>
      <c r="G12" s="30" t="s">
        <v>11</v>
      </c>
      <c r="I12" s="23">
        <f>I13/F10</f>
        <v>36.5094577938169</v>
      </c>
      <c r="J12" s="26" t="s">
        <v>5</v>
      </c>
    </row>
    <row r="13" spans="2:12" ht="15" thickBot="1" x14ac:dyDescent="0.35">
      <c r="B13" s="15" t="s">
        <v>12</v>
      </c>
      <c r="C13" s="15"/>
      <c r="D13" s="15"/>
      <c r="I13" s="9">
        <v>30</v>
      </c>
      <c r="J13" s="27" t="s">
        <v>7</v>
      </c>
    </row>
  </sheetData>
  <mergeCells count="1">
    <mergeCell ref="B13:D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3"/>
  <sheetViews>
    <sheetView workbookViewId="0">
      <selection activeCell="H20" sqref="H20"/>
    </sheetView>
  </sheetViews>
  <sheetFormatPr defaultColWidth="9.109375" defaultRowHeight="14.4" x14ac:dyDescent="0.3"/>
  <cols>
    <col min="3" max="3" width="12" bestFit="1" customWidth="1"/>
    <col min="8" max="9" width="12" bestFit="1" customWidth="1"/>
    <col min="12" max="12" width="17.33203125" bestFit="1" customWidth="1"/>
  </cols>
  <sheetData>
    <row r="1" spans="2:12" ht="15" thickBot="1" x14ac:dyDescent="0.35">
      <c r="H1" s="31" t="s">
        <v>2</v>
      </c>
      <c r="K1" s="31" t="s">
        <v>20</v>
      </c>
      <c r="L1" s="32" t="s">
        <v>30</v>
      </c>
    </row>
    <row r="2" spans="2:12" x14ac:dyDescent="0.3">
      <c r="H2" s="22">
        <f>K2*PI()/180</f>
        <v>1.2217304763960306</v>
      </c>
      <c r="K2" s="8">
        <v>70</v>
      </c>
      <c r="L2" s="4">
        <v>-70</v>
      </c>
    </row>
    <row r="3" spans="2:12" ht="15" thickBot="1" x14ac:dyDescent="0.35">
      <c r="H3" s="23">
        <f t="shared" ref="H3:H4" si="0">K3*PI()/180</f>
        <v>0.69813170079773179</v>
      </c>
      <c r="K3" s="8">
        <v>40</v>
      </c>
      <c r="L3" s="4">
        <v>-20</v>
      </c>
    </row>
    <row r="4" spans="2:12" ht="15" thickBot="1" x14ac:dyDescent="0.35">
      <c r="B4" s="16">
        <f>L2*COS(H2)</f>
        <v>-23.941410032796817</v>
      </c>
      <c r="C4" s="17">
        <f>SIN(H2)</f>
        <v>0.93969262078590832</v>
      </c>
      <c r="D4" s="12">
        <v>-1</v>
      </c>
      <c r="F4" s="22">
        <f>(L2)^2</f>
        <v>4900</v>
      </c>
      <c r="H4" s="24">
        <f t="shared" si="0"/>
        <v>0.43633231299858238</v>
      </c>
      <c r="K4" s="9">
        <v>25</v>
      </c>
      <c r="L4" s="6">
        <v>0</v>
      </c>
    </row>
    <row r="5" spans="2:12" x14ac:dyDescent="0.3">
      <c r="B5" s="18">
        <f t="shared" ref="B5:B6" si="1">L3*COS(H3)</f>
        <v>-15.32088886237956</v>
      </c>
      <c r="C5" s="19">
        <f t="shared" ref="C5:C6" si="2">SIN(H3)</f>
        <v>0.64278760968653925</v>
      </c>
      <c r="D5" s="13">
        <v>-1</v>
      </c>
      <c r="F5" s="23">
        <f t="shared" ref="F5:F6" si="3">(L3)^2</f>
        <v>400</v>
      </c>
    </row>
    <row r="6" spans="2:12" ht="15" thickBot="1" x14ac:dyDescent="0.35">
      <c r="B6" s="20">
        <f t="shared" si="1"/>
        <v>0</v>
      </c>
      <c r="C6" s="21">
        <f t="shared" si="2"/>
        <v>0.42261826174069944</v>
      </c>
      <c r="D6" s="14">
        <v>-1</v>
      </c>
      <c r="F6" s="24">
        <f t="shared" si="3"/>
        <v>0</v>
      </c>
    </row>
    <row r="9" spans="2:12" ht="15" thickBot="1" x14ac:dyDescent="0.35"/>
    <row r="10" spans="2:12" x14ac:dyDescent="0.3">
      <c r="B10" s="16">
        <f t="array" ref="B10:D12">MINVERSE(B4:D6)</f>
        <v>8.3055375421038982E-2</v>
      </c>
      <c r="C10" s="17">
        <v>-0.19505805604537341</v>
      </c>
      <c r="D10" s="12">
        <v>0.1120026806243344</v>
      </c>
      <c r="F10" s="22">
        <f t="array" ref="F10:F12">MMULT(B10:D12,F4:F6)</f>
        <v>328.94811714494165</v>
      </c>
      <c r="G10" s="28" t="s">
        <v>9</v>
      </c>
      <c r="I10" s="22">
        <f>F10/2</f>
        <v>164.47405857247082</v>
      </c>
      <c r="J10" s="25" t="s">
        <v>4</v>
      </c>
    </row>
    <row r="11" spans="2:12" x14ac:dyDescent="0.3">
      <c r="B11" s="18">
        <v>5.7795609975734292</v>
      </c>
      <c r="C11" s="19">
        <v>-9.0315151356678314</v>
      </c>
      <c r="D11" s="13">
        <v>3.2519541380944008</v>
      </c>
      <c r="F11" s="23">
        <v>24707.242833842669</v>
      </c>
      <c r="G11" s="29" t="s">
        <v>10</v>
      </c>
      <c r="I11" s="23">
        <f>F11/(2*I10)</f>
        <v>75.109847255809413</v>
      </c>
      <c r="J11" s="26" t="s">
        <v>6</v>
      </c>
    </row>
    <row r="12" spans="2:12" ht="15" thickBot="1" x14ac:dyDescent="0.35">
      <c r="B12" s="20">
        <v>2.4425480224188254</v>
      </c>
      <c r="C12" s="21">
        <v>-3.8168832275207558</v>
      </c>
      <c r="D12" s="14">
        <v>0.37433520510193014</v>
      </c>
      <c r="F12" s="24">
        <v>10441.732018843943</v>
      </c>
      <c r="G12" s="30" t="s">
        <v>11</v>
      </c>
      <c r="I12" s="24">
        <f>SQRT((I11)^2+(I10)^2-(F12))</f>
        <v>149.1692765928951</v>
      </c>
      <c r="J12" s="27" t="s">
        <v>5</v>
      </c>
    </row>
    <row r="13" spans="2:12" x14ac:dyDescent="0.3">
      <c r="H13" s="3"/>
      <c r="I13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3"/>
  <sheetViews>
    <sheetView tabSelected="1" zoomScaleNormal="100" workbookViewId="0">
      <selection activeCell="A3" sqref="A3"/>
    </sheetView>
  </sheetViews>
  <sheetFormatPr defaultColWidth="11.5546875" defaultRowHeight="14.4" x14ac:dyDescent="0.3"/>
  <sheetData>
    <row r="1" spans="2:14" x14ac:dyDescent="0.3">
      <c r="H1" t="s">
        <v>2</v>
      </c>
      <c r="K1" t="s">
        <v>0</v>
      </c>
      <c r="L1" t="s">
        <v>8</v>
      </c>
      <c r="N1" t="s">
        <v>15</v>
      </c>
    </row>
    <row r="2" spans="2:14" x14ac:dyDescent="0.3">
      <c r="H2">
        <f>K2*PI()/180</f>
        <v>2.6179938779914944</v>
      </c>
      <c r="K2">
        <v>150</v>
      </c>
      <c r="L2">
        <v>53</v>
      </c>
      <c r="N2">
        <v>37.5</v>
      </c>
    </row>
    <row r="3" spans="2:14" ht="15" thickBot="1" x14ac:dyDescent="0.35">
      <c r="H3">
        <f>K3*PI()/180</f>
        <v>3.4906585039886591</v>
      </c>
      <c r="K3">
        <v>200</v>
      </c>
      <c r="L3">
        <v>45</v>
      </c>
    </row>
    <row r="4" spans="2:14" x14ac:dyDescent="0.3">
      <c r="B4" s="3"/>
      <c r="C4" s="1">
        <f>SIN(H2)</f>
        <v>0.49999999999999994</v>
      </c>
      <c r="D4" s="2">
        <v>-1</v>
      </c>
      <c r="F4" s="7">
        <f>(L2)^2-2*N2*L2*COS(H2)</f>
        <v>6251.4509800431442</v>
      </c>
    </row>
    <row r="5" spans="2:14" ht="15" thickBot="1" x14ac:dyDescent="0.35">
      <c r="B5" s="3"/>
      <c r="C5" s="5">
        <f t="shared" ref="C5" si="0">SIN(H3)</f>
        <v>-0.34202014332566866</v>
      </c>
      <c r="D5" s="6">
        <v>-1</v>
      </c>
      <c r="F5" s="9">
        <f>(L3)^2-2*N2*L3*COS(H3)</f>
        <v>5196.4625951524413</v>
      </c>
    </row>
    <row r="6" spans="2:14" x14ac:dyDescent="0.3">
      <c r="B6" s="3"/>
      <c r="C6" s="3"/>
      <c r="D6" s="3"/>
      <c r="F6" s="3"/>
    </row>
    <row r="9" spans="2:14" ht="15" thickBot="1" x14ac:dyDescent="0.35"/>
    <row r="10" spans="2:14" x14ac:dyDescent="0.3">
      <c r="B10" s="3"/>
      <c r="C10" s="1">
        <f t="array" ref="C10:D11">MINVERSE(C4:D5)</f>
        <v>1.1876200443974765</v>
      </c>
      <c r="D10" s="2">
        <v>-1.1876200443974765</v>
      </c>
      <c r="F10" s="7">
        <f t="array" ref="F10:F11">MMULT(C10:D11,F4:F5)</f>
        <v>1252.9253525027189</v>
      </c>
      <c r="H10" s="7">
        <f>N2</f>
        <v>37.5</v>
      </c>
      <c r="I10" s="12" t="s">
        <v>4</v>
      </c>
    </row>
    <row r="11" spans="2:14" ht="15" thickBot="1" x14ac:dyDescent="0.35">
      <c r="B11" s="3"/>
      <c r="C11" s="5">
        <v>-0.40618997780126187</v>
      </c>
      <c r="D11" s="6">
        <v>-0.59381002219873813</v>
      </c>
      <c r="F11" s="9">
        <v>-5624.9883037917853</v>
      </c>
      <c r="H11" s="8">
        <f>F10/(2*H10)</f>
        <v>16.705671366702919</v>
      </c>
      <c r="I11" s="13" t="s">
        <v>6</v>
      </c>
    </row>
    <row r="12" spans="2:14" ht="15" thickBot="1" x14ac:dyDescent="0.35">
      <c r="B12" s="3"/>
      <c r="C12" s="3"/>
      <c r="D12" s="3"/>
      <c r="F12" s="3"/>
      <c r="H12" s="9">
        <f>SQRT(H10^2+H11^2-F11)</f>
        <v>85.500396254076293</v>
      </c>
      <c r="I12" s="14" t="s">
        <v>5</v>
      </c>
    </row>
    <row r="13" spans="2:14" x14ac:dyDescent="0.3">
      <c r="H13" s="3"/>
      <c r="I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3"/>
  <sheetViews>
    <sheetView workbookViewId="0">
      <selection activeCell="M10" sqref="M10"/>
    </sheetView>
  </sheetViews>
  <sheetFormatPr defaultColWidth="9.109375" defaultRowHeight="14.4" x14ac:dyDescent="0.3"/>
  <cols>
    <col min="8" max="8" width="12" bestFit="1" customWidth="1"/>
    <col min="11" max="11" width="9.109375" bestFit="1" customWidth="1"/>
    <col min="12" max="12" width="17.33203125" bestFit="1" customWidth="1"/>
  </cols>
  <sheetData>
    <row r="1" spans="2:12" ht="15" thickBot="1" x14ac:dyDescent="0.35">
      <c r="H1" s="31" t="s">
        <v>32</v>
      </c>
      <c r="K1" s="31" t="s">
        <v>31</v>
      </c>
      <c r="L1" s="32" t="s">
        <v>30</v>
      </c>
    </row>
    <row r="2" spans="2:12" x14ac:dyDescent="0.3">
      <c r="H2" s="23">
        <f>K2*PI()/180</f>
        <v>-0.52359877559829882</v>
      </c>
      <c r="K2" s="7">
        <v>-30</v>
      </c>
      <c r="L2" s="2">
        <v>2</v>
      </c>
    </row>
    <row r="3" spans="2:12" ht="15" thickBot="1" x14ac:dyDescent="0.35">
      <c r="H3" s="23">
        <f t="shared" ref="H3:H4" si="0">K3*PI()/180</f>
        <v>0.3490658503988659</v>
      </c>
      <c r="K3" s="8">
        <v>20</v>
      </c>
      <c r="L3" s="4">
        <v>5</v>
      </c>
    </row>
    <row r="4" spans="2:12" ht="15" thickBot="1" x14ac:dyDescent="0.35">
      <c r="B4" s="16">
        <f>L2*COS(H2)</f>
        <v>1.7320508075688774</v>
      </c>
      <c r="C4" s="17">
        <f>SIN(H2)</f>
        <v>-0.49999999999999994</v>
      </c>
      <c r="D4" s="12">
        <v>1</v>
      </c>
      <c r="F4" s="22">
        <f>(L2)^2</f>
        <v>4</v>
      </c>
      <c r="H4" s="24">
        <f t="shared" si="0"/>
        <v>-0.17453292519943295</v>
      </c>
      <c r="K4" s="9">
        <v>-10</v>
      </c>
      <c r="L4" s="6">
        <v>9</v>
      </c>
    </row>
    <row r="5" spans="2:12" x14ac:dyDescent="0.3">
      <c r="B5" s="18">
        <f t="shared" ref="B5:B6" si="1">L3*COS(H3)</f>
        <v>4.6984631039295426</v>
      </c>
      <c r="C5" s="19">
        <f t="shared" ref="C5:C6" si="2">SIN(H3)</f>
        <v>0.34202014332566871</v>
      </c>
      <c r="D5" s="13">
        <v>1</v>
      </c>
      <c r="F5" s="23">
        <f t="shared" ref="F5:F6" si="3">(L3)^2</f>
        <v>25</v>
      </c>
    </row>
    <row r="6" spans="2:12" ht="15" thickBot="1" x14ac:dyDescent="0.35">
      <c r="B6" s="20">
        <f t="shared" si="1"/>
        <v>8.8632697771098723</v>
      </c>
      <c r="C6" s="21">
        <f t="shared" si="2"/>
        <v>-0.17364817766693033</v>
      </c>
      <c r="D6" s="14">
        <v>1</v>
      </c>
      <c r="F6" s="24">
        <f t="shared" si="3"/>
        <v>81</v>
      </c>
    </row>
    <row r="9" spans="2:12" ht="15" thickBot="1" x14ac:dyDescent="0.35"/>
    <row r="10" spans="2:12" x14ac:dyDescent="0.3">
      <c r="B10" s="16">
        <f t="array" ref="B10:D12">MINVERSE(B4:D6)</f>
        <v>-0.10238551359042085</v>
      </c>
      <c r="C10" s="17">
        <v>-6.4796881213148375E-2</v>
      </c>
      <c r="D10" s="12">
        <v>0.16718239480356922</v>
      </c>
      <c r="F10" s="22">
        <f t="array" ref="F10:F12">MMULT(B10:D12,F4:F6)</f>
        <v>11.512309894398715</v>
      </c>
      <c r="G10" s="28" t="s">
        <v>9</v>
      </c>
      <c r="I10" s="22">
        <f>SQRT(F12+I12^2+I11^2)</f>
        <v>3.3503733654634185</v>
      </c>
      <c r="J10" s="25" t="s">
        <v>4</v>
      </c>
    </row>
    <row r="11" spans="2:12" x14ac:dyDescent="0.3">
      <c r="B11" s="18">
        <v>-0.82691887959605725</v>
      </c>
      <c r="C11" s="19">
        <v>1.4158975585639777</v>
      </c>
      <c r="D11" s="13">
        <v>-0.58897867896792044</v>
      </c>
      <c r="F11" s="23">
        <v>-15.617509550686343</v>
      </c>
      <c r="G11" s="29" t="s">
        <v>10</v>
      </c>
      <c r="I11" s="23">
        <f>F11/(2*I12)</f>
        <v>-1.3565921777596521</v>
      </c>
      <c r="J11" s="26" t="s">
        <v>6</v>
      </c>
    </row>
    <row r="12" spans="2:12" ht="15" thickBot="1" x14ac:dyDescent="0.35">
      <c r="B12" s="20">
        <v>0.76387747169961406</v>
      </c>
      <c r="C12" s="21">
        <v>0.820180269715167</v>
      </c>
      <c r="D12" s="14">
        <v>-0.58405774141478117</v>
      </c>
      <c r="F12" s="24">
        <v>-23.748660424919642</v>
      </c>
      <c r="G12" s="30" t="s">
        <v>11</v>
      </c>
      <c r="I12" s="24">
        <f>F10/2</f>
        <v>5.7561549471993576</v>
      </c>
      <c r="J12" s="27" t="s">
        <v>5</v>
      </c>
    </row>
    <row r="13" spans="2:12" x14ac:dyDescent="0.3">
      <c r="H13" s="3"/>
      <c r="I13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1"/>
  <sheetViews>
    <sheetView workbookViewId="0">
      <selection activeCell="I12" sqref="I12"/>
    </sheetView>
  </sheetViews>
  <sheetFormatPr defaultColWidth="9.109375" defaultRowHeight="14.4" x14ac:dyDescent="0.3"/>
  <cols>
    <col min="4" max="4" width="7" bestFit="1" customWidth="1"/>
    <col min="8" max="8" width="12" bestFit="1" customWidth="1"/>
    <col min="9" max="9" width="12.6640625" bestFit="1" customWidth="1"/>
  </cols>
  <sheetData>
    <row r="1" spans="2:12" x14ac:dyDescent="0.3">
      <c r="H1" t="s">
        <v>2</v>
      </c>
      <c r="I1" t="s">
        <v>3</v>
      </c>
      <c r="K1" t="s">
        <v>0</v>
      </c>
      <c r="L1" t="s">
        <v>1</v>
      </c>
    </row>
    <row r="2" spans="2:12" x14ac:dyDescent="0.3">
      <c r="H2">
        <f>K2*PI()/180</f>
        <v>0.43633231299858238</v>
      </c>
      <c r="I2">
        <f>L2*PI()/180</f>
        <v>-0.17453292519943295</v>
      </c>
      <c r="K2">
        <v>25</v>
      </c>
      <c r="L2">
        <v>-10</v>
      </c>
    </row>
    <row r="3" spans="2:12" ht="15" thickBot="1" x14ac:dyDescent="0.35">
      <c r="H3">
        <f t="shared" ref="H3:I3" si="0">K3*PI()/180</f>
        <v>0.6108652381980153</v>
      </c>
      <c r="I3">
        <f t="shared" si="0"/>
        <v>-0.52359877559829882</v>
      </c>
      <c r="K3">
        <v>35</v>
      </c>
      <c r="L3">
        <v>-30</v>
      </c>
    </row>
    <row r="4" spans="2:12" x14ac:dyDescent="0.3">
      <c r="B4" s="1">
        <f>SIN(H2)</f>
        <v>0.42261826174069944</v>
      </c>
      <c r="C4" s="2">
        <v>1</v>
      </c>
      <c r="D4" s="3"/>
      <c r="F4" s="7">
        <f>SIN(I2)</f>
        <v>-0.17364817766693033</v>
      </c>
    </row>
    <row r="5" spans="2:12" ht="15" thickBot="1" x14ac:dyDescent="0.35">
      <c r="B5" s="5">
        <f>SIN(H3)</f>
        <v>0.57357643635104605</v>
      </c>
      <c r="C5" s="6">
        <v>1</v>
      </c>
      <c r="D5" s="3"/>
      <c r="F5" s="9">
        <f>SIN(I3)</f>
        <v>-0.49999999999999994</v>
      </c>
    </row>
    <row r="6" spans="2:12" x14ac:dyDescent="0.3">
      <c r="B6" s="3"/>
      <c r="C6" s="3"/>
      <c r="D6" s="3"/>
      <c r="F6" s="3"/>
    </row>
    <row r="8" spans="2:12" ht="15" thickBot="1" x14ac:dyDescent="0.35"/>
    <row r="9" spans="2:12" x14ac:dyDescent="0.3">
      <c r="B9">
        <f t="array" ref="B9:C10">MINVERSE(B4:C5)</f>
        <v>-6.6243514309920677</v>
      </c>
      <c r="C9">
        <v>6.6243514309920677</v>
      </c>
      <c r="E9" s="10" t="s">
        <v>13</v>
      </c>
      <c r="F9" s="2">
        <f t="array" ref="F9:F10">MMULT(B9:C10,F4:F5)</f>
        <v>-2.1618691612789389</v>
      </c>
      <c r="H9" t="s">
        <v>5</v>
      </c>
      <c r="I9">
        <v>5</v>
      </c>
    </row>
    <row r="10" spans="2:12" ht="15" thickBot="1" x14ac:dyDescent="0.35">
      <c r="B10">
        <v>3.7995718869253823</v>
      </c>
      <c r="C10">
        <v>-2.7995718869253823</v>
      </c>
      <c r="E10" s="11" t="s">
        <v>14</v>
      </c>
      <c r="F10" s="6">
        <v>0.73999720938359836</v>
      </c>
      <c r="H10" t="s">
        <v>4</v>
      </c>
      <c r="I10">
        <f>-F9*I9</f>
        <v>10.809345806394695</v>
      </c>
    </row>
    <row r="11" spans="2:12" x14ac:dyDescent="0.3">
      <c r="H11" t="s">
        <v>6</v>
      </c>
      <c r="I11">
        <f>F10*I9</f>
        <v>3.6999860469179917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4bar theta2-theta4</vt:lpstr>
      <vt:lpstr>4bar theta2-theta3</vt:lpstr>
      <vt:lpstr>4bar theta3-theta4</vt:lpstr>
      <vt:lpstr>slider theta2-d</vt:lpstr>
      <vt:lpstr>slider theta2-d 2 points</vt:lpstr>
      <vt:lpstr>slider theta3-d</vt:lpstr>
      <vt:lpstr>slider theta2-theta3 2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2014-04-30T20:11:53Z</dcterms:created>
  <dcterms:modified xsi:type="dcterms:W3CDTF">2018-08-30T16:08:16Z</dcterms:modified>
</cp:coreProperties>
</file>